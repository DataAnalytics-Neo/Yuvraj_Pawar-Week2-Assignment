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y\Downloads\"/>
    </mc:Choice>
  </mc:AlternateContent>
  <xr:revisionPtr revIDLastSave="0" documentId="8_{EA0F3447-D4B7-4F71-AE0E-DDD970106D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 1 - Basic SUM" sheetId="1" r:id="rId1"/>
    <sheet name="Exercise 2 - AVERAGE" sheetId="2" r:id="rId2"/>
    <sheet name="Exercise 3 - IF Statements" sheetId="3" r:id="rId3"/>
    <sheet name="Exercise 4 - COUNT Functions" sheetId="4" r:id="rId4"/>
    <sheet name="Exercise 5 - SUMIF" sheetId="5" r:id="rId5"/>
    <sheet name="Exercise 6 - Lookup Tables" sheetId="6" r:id="rId6"/>
    <sheet name="Exercise 7 - Nested Formulas" sheetId="7" r:id="rId7"/>
    <sheet name="Exercise 8 - Challenge Problems" sheetId="8" r:id="rId8"/>
    <sheet name="Reference - Formula Tips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7" i="1"/>
  <c r="E6" i="1"/>
  <c r="E4" i="1"/>
  <c r="E5" i="1"/>
  <c r="B12" i="9"/>
  <c r="B10" i="9"/>
  <c r="B9" i="9"/>
  <c r="B8" i="9"/>
  <c r="B7" i="9"/>
  <c r="B6" i="9"/>
  <c r="B5" i="9"/>
  <c r="B4" i="9"/>
  <c r="B15" i="7"/>
  <c r="B12" i="7"/>
  <c r="B11" i="7"/>
  <c r="B10" i="7"/>
  <c r="B15" i="5"/>
  <c r="B14" i="5"/>
  <c r="B13" i="5"/>
  <c r="B12" i="5"/>
  <c r="B17" i="4"/>
  <c r="B16" i="4"/>
  <c r="B15" i="4"/>
  <c r="B14" i="4"/>
  <c r="B13" i="4"/>
  <c r="B12" i="4"/>
  <c r="B12" i="2"/>
  <c r="B11" i="2"/>
  <c r="B10" i="2"/>
  <c r="D9" i="1"/>
  <c r="C9" i="1"/>
  <c r="B9" i="1"/>
</calcChain>
</file>

<file path=xl/sharedStrings.xml><?xml version="1.0" encoding="utf-8"?>
<sst xmlns="http://schemas.openxmlformats.org/spreadsheetml/2006/main" count="240" uniqueCount="198">
  <si>
    <t>Product</t>
  </si>
  <si>
    <t>Laptop</t>
  </si>
  <si>
    <t>Mouse</t>
  </si>
  <si>
    <t>Keyboard</t>
  </si>
  <si>
    <t>Monitor</t>
  </si>
  <si>
    <t>TOTAL</t>
  </si>
  <si>
    <t>Instructions: Fill in the formulas in row 9 to calculate total sales for each month</t>
  </si>
  <si>
    <t>Jan Sales</t>
  </si>
  <si>
    <t>5000</t>
  </si>
  <si>
    <t>3000</t>
  </si>
  <si>
    <t>Feb Sales</t>
  </si>
  <si>
    <t>900</t>
  </si>
  <si>
    <t>Mar Sales</t>
  </si>
  <si>
    <t>3500</t>
  </si>
  <si>
    <t>Sales Data - Calculate Totals</t>
  </si>
  <si>
    <t>Student Name</t>
  </si>
  <si>
    <t>Alice</t>
  </si>
  <si>
    <t>Bob</t>
  </si>
  <si>
    <t>Charlie</t>
  </si>
  <si>
    <t>Diana</t>
  </si>
  <si>
    <t>Eve</t>
  </si>
  <si>
    <t>Class Average (all students)</t>
  </si>
  <si>
    <t>Highest Score</t>
  </si>
  <si>
    <t>Lowest Score</t>
  </si>
  <si>
    <t>Instructions: Use AVERAGE formula to calculate average marks for each student</t>
  </si>
  <si>
    <t>Marks</t>
  </si>
  <si>
    <t>85</t>
  </si>
  <si>
    <t>92</t>
  </si>
  <si>
    <t>78</t>
  </si>
  <si>
    <t>88</t>
  </si>
  <si>
    <t>95</t>
  </si>
  <si>
    <t>Average</t>
  </si>
  <si>
    <t>Student Grades - Calculate Average Score</t>
  </si>
  <si>
    <t>Student</t>
  </si>
  <si>
    <t>Grading Scale:</t>
  </si>
  <si>
    <t>Score &gt;= 90: A</t>
  </si>
  <si>
    <t>Score &gt;= 80: B</t>
  </si>
  <si>
    <t>Score &gt;= 70: C</t>
  </si>
  <si>
    <t>Score &gt;= 60: D</t>
  </si>
  <si>
    <t>Score &lt; 60: F</t>
  </si>
  <si>
    <t>Instructions: Use IF formula: =IF(B3&gt;=90,"A",IF(B3&gt;=80,"B",IF(B3&gt;=70,"C",IF(B3&gt;=60,"D","F"))))</t>
  </si>
  <si>
    <t>Score</t>
  </si>
  <si>
    <t>65</t>
  </si>
  <si>
    <t>55</t>
  </si>
  <si>
    <t>Grade</t>
  </si>
  <si>
    <t>Grade Assignment - Use IF to assign grades</t>
  </si>
  <si>
    <t>Item ID</t>
  </si>
  <si>
    <t>1</t>
  </si>
  <si>
    <t>2</t>
  </si>
  <si>
    <t>3</t>
  </si>
  <si>
    <t>4</t>
  </si>
  <si>
    <t>5</t>
  </si>
  <si>
    <t>6</t>
  </si>
  <si>
    <t>7</t>
  </si>
  <si>
    <t>Total Items Counted</t>
  </si>
  <si>
    <t>Total Rows with Data</t>
  </si>
  <si>
    <t>Count of Electronics</t>
  </si>
  <si>
    <t>Count of Furniture</t>
  </si>
  <si>
    <t>Count of Clothing</t>
  </si>
  <si>
    <t>Items with Qty &gt; 50</t>
  </si>
  <si>
    <t>Category</t>
  </si>
  <si>
    <t>Electronics</t>
  </si>
  <si>
    <t>Furniture</t>
  </si>
  <si>
    <t>Clothing</t>
  </si>
  <si>
    <t>Quantity</t>
  </si>
  <si>
    <t>45</t>
  </si>
  <si>
    <t>23</t>
  </si>
  <si>
    <t>67</t>
  </si>
  <si>
    <t>12</t>
  </si>
  <si>
    <t>89</t>
  </si>
  <si>
    <t>34</t>
  </si>
  <si>
    <t>56</t>
  </si>
  <si>
    <t>Counting Data - Practice COUNT &amp; COUNTIF</t>
  </si>
  <si>
    <t>Date</t>
  </si>
  <si>
    <t>01-Jan</t>
  </si>
  <si>
    <t>02-Jan</t>
  </si>
  <si>
    <t>03-Jan</t>
  </si>
  <si>
    <t>04-Jan</t>
  </si>
  <si>
    <t>05-Jan</t>
  </si>
  <si>
    <t>06-Jan</t>
  </si>
  <si>
    <t>07-Jan</t>
  </si>
  <si>
    <t>Total Office Sales</t>
  </si>
  <si>
    <t>Total Home Sales</t>
  </si>
  <si>
    <t>Total Furniture Sales</t>
  </si>
  <si>
    <t>Total Sales (all)</t>
  </si>
  <si>
    <t>Instructions: SUMIF adds values from one column based on criteria in another column</t>
  </si>
  <si>
    <t>Office</t>
  </si>
  <si>
    <t>Home</t>
  </si>
  <si>
    <t>Amount</t>
  </si>
  <si>
    <t>1500</t>
  </si>
  <si>
    <t>2200</t>
  </si>
  <si>
    <t>1800</t>
  </si>
  <si>
    <t>2100</t>
  </si>
  <si>
    <t>1200</t>
  </si>
  <si>
    <t>Sales by Category - Use SUMIF</t>
  </si>
  <si>
    <t>Product ID</t>
  </si>
  <si>
    <t>101</t>
  </si>
  <si>
    <t>102</t>
  </si>
  <si>
    <t>103</t>
  </si>
  <si>
    <t>104</t>
  </si>
  <si>
    <t>105</t>
  </si>
  <si>
    <t>Order Data - Find Prices</t>
  </si>
  <si>
    <t>Order ID</t>
  </si>
  <si>
    <t>1001</t>
  </si>
  <si>
    <t>1002</t>
  </si>
  <si>
    <t>1003</t>
  </si>
  <si>
    <t>Instructions: Use VLOOKUP to fill Product Name and Unit Price from the lookup table above</t>
  </si>
  <si>
    <t>Product Name</t>
  </si>
  <si>
    <t>Desk</t>
  </si>
  <si>
    <t>Chair</t>
  </si>
  <si>
    <t>Price</t>
  </si>
  <si>
    <t>899</t>
  </si>
  <si>
    <t>25</t>
  </si>
  <si>
    <t>299</t>
  </si>
  <si>
    <t>150</t>
  </si>
  <si>
    <t>349</t>
  </si>
  <si>
    <t>Unit Price</t>
  </si>
  <si>
    <t>Product Lookup - Reference Data</t>
  </si>
  <si>
    <t>Employee</t>
  </si>
  <si>
    <t>John</t>
  </si>
  <si>
    <t>Sarah</t>
  </si>
  <si>
    <t>Mike</t>
  </si>
  <si>
    <t>Emma</t>
  </si>
  <si>
    <t>Questions:</t>
  </si>
  <si>
    <t>1. Count employees earning &gt; 50000:</t>
  </si>
  <si>
    <t>2. Sum of IT department salaries:</t>
  </si>
  <si>
    <t>3. Average salary:</t>
  </si>
  <si>
    <t>4. Bonus column (20% if salary &gt; 55000, else 10%):</t>
  </si>
  <si>
    <t>Bonus in D3:</t>
  </si>
  <si>
    <t>Department</t>
  </si>
  <si>
    <t>Sales</t>
  </si>
  <si>
    <t>IT</t>
  </si>
  <si>
    <t>HR</t>
  </si>
  <si>
    <t>Salary</t>
  </si>
  <si>
    <t>50000</t>
  </si>
  <si>
    <t>65000</t>
  </si>
  <si>
    <t>45000</t>
  </si>
  <si>
    <t>55000</t>
  </si>
  <si>
    <t>Bonus Eligible</t>
  </si>
  <si>
    <t>Complex Formulas - Combine Functions</t>
  </si>
  <si>
    <t>Challenge 1: Commission Calculation</t>
  </si>
  <si>
    <t>Salesperson</t>
  </si>
  <si>
    <t>Commission: 5% if sales &lt; 10000, else 8%</t>
  </si>
  <si>
    <t>Challenge 2: Grade with Comments</t>
  </si>
  <si>
    <t>Student A</t>
  </si>
  <si>
    <t>Student B</t>
  </si>
  <si>
    <t>Student C</t>
  </si>
  <si>
    <t>Student D</t>
  </si>
  <si>
    <t>Example result: A - Excellent</t>
  </si>
  <si>
    <t>Challenge 3: Running Total</t>
  </si>
  <si>
    <t>Month</t>
  </si>
  <si>
    <t>January</t>
  </si>
  <si>
    <t>February</t>
  </si>
  <si>
    <t>March</t>
  </si>
  <si>
    <t>April</t>
  </si>
  <si>
    <t>Sales Amount</t>
  </si>
  <si>
    <t>10000</t>
  </si>
  <si>
    <t>15000</t>
  </si>
  <si>
    <t>8000</t>
  </si>
  <si>
    <t>12000</t>
  </si>
  <si>
    <t>Percentage</t>
  </si>
  <si>
    <t>75</t>
  </si>
  <si>
    <t>60</t>
  </si>
  <si>
    <t>4500</t>
  </si>
  <si>
    <t>2000</t>
  </si>
  <si>
    <t>Commission</t>
  </si>
  <si>
    <t>Grade + Status</t>
  </si>
  <si>
    <t>Running Total</t>
  </si>
  <si>
    <t>Challenge Exercises - Advanced Practice</t>
  </si>
  <si>
    <t>Formula Type</t>
  </si>
  <si>
    <t>SUM</t>
  </si>
  <si>
    <t>AVERAGE</t>
  </si>
  <si>
    <t>COUNT</t>
  </si>
  <si>
    <t>COUNTA</t>
  </si>
  <si>
    <t>COUNTIF</t>
  </si>
  <si>
    <t>SUMIF</t>
  </si>
  <si>
    <t>IF</t>
  </si>
  <si>
    <t>MAX/MIN</t>
  </si>
  <si>
    <t>VLOOKUP</t>
  </si>
  <si>
    <t>Useful Shortcuts:</t>
  </si>
  <si>
    <t>Relative Reference</t>
  </si>
  <si>
    <t>Absolute Reference</t>
  </si>
  <si>
    <t>Mixed Reference</t>
  </si>
  <si>
    <t>Common Mistakes:</t>
  </si>
  <si>
    <t>Forgetting = sign</t>
  </si>
  <si>
    <t>Wrong cell range</t>
  </si>
  <si>
    <t>Circular references</t>
  </si>
  <si>
    <t>Text in numeric formula</t>
  </si>
  <si>
    <t>Syntax &amp; Tips</t>
  </si>
  <si>
    <t>A1 (changes when copied)</t>
  </si>
  <si>
    <t>$A$1 (stays same when copied)</t>
  </si>
  <si>
    <t>$A1 or A$1 (locks row or column)</t>
  </si>
  <si>
    <t>Formula won't execute</t>
  </si>
  <si>
    <t>Check your cell references</t>
  </si>
  <si>
    <t>Avoid formula referencing itself</t>
  </si>
  <si>
    <t>Use VALUE() or check data type</t>
  </si>
  <si>
    <t>Essential Formula Tips &amp; Tricks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</si>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</sst>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3" sqref="H13"/>
    </sheetView>
  </sheetViews>
  <sheetFormatPr defaultRowHeight="14.4" x14ac:dyDescent="0.3"/>
  <cols>
    <col min="1" max="1" width="50.6640625" customWidth="1"/>
    <col min="2" max="4" width="13.6640625" customWidth="1"/>
  </cols>
  <sheetData>
    <row r="1" spans="1:6" x14ac:dyDescent="0.3">
      <c r="A1" t="s">
        <v>14</v>
      </c>
    </row>
    <row r="3" spans="1:6" x14ac:dyDescent="0.3">
      <c r="A3" t="s">
        <v>0</v>
      </c>
      <c r="B3" t="s">
        <v>7</v>
      </c>
      <c r="C3" t="s">
        <v>10</v>
      </c>
      <c r="D3" t="s">
        <v>12</v>
      </c>
      <c r="E3" t="s">
        <v>197</v>
      </c>
      <c r="F3" t="s">
        <v>31</v>
      </c>
    </row>
    <row r="4" spans="1:6" x14ac:dyDescent="0.3">
      <c r="A4" t="s">
        <v>1</v>
      </c>
      <c r="B4" s="1">
        <v>5000</v>
      </c>
      <c r="C4" s="1">
        <v>5500</v>
      </c>
      <c r="D4" s="1">
        <v>6200</v>
      </c>
      <c r="E4">
        <f>SUM(B4:D4)</f>
        <v>16700</v>
      </c>
    </row>
    <row r="5" spans="1:6" x14ac:dyDescent="0.3">
      <c r="A5" t="s">
        <v>2</v>
      </c>
      <c r="B5" s="1">
        <v>500</v>
      </c>
      <c r="C5" s="1">
        <v>600</v>
      </c>
      <c r="D5" s="1">
        <v>700</v>
      </c>
      <c r="E5">
        <f>SUM(B5:D5)</f>
        <v>1800</v>
      </c>
    </row>
    <row r="6" spans="1:6" x14ac:dyDescent="0.3">
      <c r="A6" t="s">
        <v>3</v>
      </c>
      <c r="B6" s="1">
        <v>800</v>
      </c>
      <c r="C6" s="1">
        <v>900</v>
      </c>
      <c r="D6" s="1">
        <v>1100</v>
      </c>
      <c r="E6">
        <f>SUM(B6:D6)</f>
        <v>2800</v>
      </c>
    </row>
    <row r="7" spans="1:6" x14ac:dyDescent="0.3">
      <c r="A7" t="s">
        <v>4</v>
      </c>
      <c r="B7" s="1">
        <v>3000</v>
      </c>
      <c r="C7" s="1">
        <v>3200</v>
      </c>
      <c r="D7" s="1">
        <v>3500</v>
      </c>
      <c r="E7">
        <f>SUM(B7:D7)</f>
        <v>9700</v>
      </c>
    </row>
    <row r="9" spans="1:6" x14ac:dyDescent="0.3">
      <c r="A9" t="s">
        <v>5</v>
      </c>
      <c r="B9">
        <f>SUM(B3:B6)</f>
        <v>6300</v>
      </c>
      <c r="C9">
        <f>SUM(C3:C6)</f>
        <v>7000</v>
      </c>
      <c r="D9">
        <f>SUM(D3:D6)</f>
        <v>8000</v>
      </c>
      <c r="E9">
        <f>SUM(E4:E7)</f>
        <v>31000</v>
      </c>
    </row>
    <row r="11" spans="1:6" x14ac:dyDescent="0.3">
      <c r="A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cols>
    <col min="1" max="1" width="50.6640625" customWidth="1"/>
    <col min="2" max="2" width="17.6640625" customWidth="1"/>
    <col min="3" max="3" width="9.6640625" customWidth="1"/>
  </cols>
  <sheetData>
    <row r="1" spans="1:3" x14ac:dyDescent="0.3">
      <c r="A1" t="s">
        <v>32</v>
      </c>
    </row>
    <row r="3" spans="1:3" x14ac:dyDescent="0.3">
      <c r="A3" t="s">
        <v>15</v>
      </c>
      <c r="B3" t="s">
        <v>25</v>
      </c>
      <c r="C3" t="s">
        <v>31</v>
      </c>
    </row>
    <row r="4" spans="1:3" x14ac:dyDescent="0.3">
      <c r="A4" t="s">
        <v>16</v>
      </c>
      <c r="B4" t="s">
        <v>26</v>
      </c>
    </row>
    <row r="5" spans="1:3" x14ac:dyDescent="0.3">
      <c r="A5" t="s">
        <v>17</v>
      </c>
      <c r="B5" t="s">
        <v>27</v>
      </c>
    </row>
    <row r="6" spans="1:3" x14ac:dyDescent="0.3">
      <c r="A6" t="s">
        <v>18</v>
      </c>
      <c r="B6" t="s">
        <v>28</v>
      </c>
    </row>
    <row r="7" spans="1:3" x14ac:dyDescent="0.3">
      <c r="A7" t="s">
        <v>19</v>
      </c>
      <c r="B7" t="s">
        <v>29</v>
      </c>
    </row>
    <row r="8" spans="1:3" x14ac:dyDescent="0.3">
      <c r="A8" t="s">
        <v>20</v>
      </c>
      <c r="B8" t="s">
        <v>30</v>
      </c>
    </row>
    <row r="10" spans="1:3" x14ac:dyDescent="0.3">
      <c r="A10" t="s">
        <v>21</v>
      </c>
      <c r="B10" t="e">
        <f>AVERAGE(B3:B7)</f>
        <v>#DIV/0!</v>
      </c>
    </row>
    <row r="11" spans="1:3" x14ac:dyDescent="0.3">
      <c r="A11" t="s">
        <v>22</v>
      </c>
      <c r="B11">
        <f>MAX(B3:B7)</f>
        <v>0</v>
      </c>
    </row>
    <row r="12" spans="1:3" x14ac:dyDescent="0.3">
      <c r="A12" t="s">
        <v>23</v>
      </c>
      <c r="B12">
        <f>MIN(B3:B7)</f>
        <v>0</v>
      </c>
    </row>
    <row r="14" spans="1:3" x14ac:dyDescent="0.3">
      <c r="A1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 x14ac:dyDescent="0.3"/>
  <cols>
    <col min="1" max="1" width="50.6640625" customWidth="1"/>
    <col min="2" max="3" width="8.6640625" customWidth="1"/>
  </cols>
  <sheetData>
    <row r="1" spans="1:3" x14ac:dyDescent="0.3">
      <c r="A1" t="s">
        <v>45</v>
      </c>
    </row>
    <row r="3" spans="1:3" x14ac:dyDescent="0.3">
      <c r="A3" t="s">
        <v>33</v>
      </c>
      <c r="B3" t="s">
        <v>41</v>
      </c>
      <c r="C3" t="s">
        <v>44</v>
      </c>
    </row>
    <row r="4" spans="1:3" x14ac:dyDescent="0.3">
      <c r="A4" t="s">
        <v>16</v>
      </c>
      <c r="B4" t="s">
        <v>26</v>
      </c>
    </row>
    <row r="5" spans="1:3" x14ac:dyDescent="0.3">
      <c r="A5" t="s">
        <v>17</v>
      </c>
      <c r="B5" t="s">
        <v>27</v>
      </c>
    </row>
    <row r="6" spans="1:3" x14ac:dyDescent="0.3">
      <c r="A6" t="s">
        <v>18</v>
      </c>
      <c r="B6" t="s">
        <v>42</v>
      </c>
    </row>
    <row r="7" spans="1:3" x14ac:dyDescent="0.3">
      <c r="A7" t="s">
        <v>19</v>
      </c>
      <c r="B7" t="s">
        <v>28</v>
      </c>
    </row>
    <row r="8" spans="1:3" x14ac:dyDescent="0.3">
      <c r="A8" t="s">
        <v>20</v>
      </c>
      <c r="B8" t="s">
        <v>43</v>
      </c>
    </row>
    <row r="10" spans="1:3" x14ac:dyDescent="0.3">
      <c r="A10" t="s">
        <v>34</v>
      </c>
    </row>
    <row r="11" spans="1:3" x14ac:dyDescent="0.3">
      <c r="A11" t="s">
        <v>35</v>
      </c>
    </row>
    <row r="12" spans="1:3" x14ac:dyDescent="0.3">
      <c r="A12" t="s">
        <v>36</v>
      </c>
    </row>
    <row r="13" spans="1:3" x14ac:dyDescent="0.3">
      <c r="A13" t="s">
        <v>37</v>
      </c>
    </row>
    <row r="14" spans="1:3" x14ac:dyDescent="0.3">
      <c r="A14" t="s">
        <v>38</v>
      </c>
    </row>
    <row r="15" spans="1:3" x14ac:dyDescent="0.3">
      <c r="A15" t="s">
        <v>39</v>
      </c>
    </row>
    <row r="17" spans="1:1" x14ac:dyDescent="0.3">
      <c r="A1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4.4" x14ac:dyDescent="0.3"/>
  <cols>
    <col min="1" max="1" width="42.6640625" customWidth="1"/>
    <col min="2" max="2" width="31.6640625" customWidth="1"/>
    <col min="3" max="3" width="10.6640625" customWidth="1"/>
  </cols>
  <sheetData>
    <row r="1" spans="1:3" x14ac:dyDescent="0.3">
      <c r="A1" t="s">
        <v>72</v>
      </c>
    </row>
    <row r="3" spans="1:3" x14ac:dyDescent="0.3">
      <c r="A3" t="s">
        <v>46</v>
      </c>
      <c r="B3" t="s">
        <v>60</v>
      </c>
      <c r="C3" t="s">
        <v>64</v>
      </c>
    </row>
    <row r="4" spans="1:3" x14ac:dyDescent="0.3">
      <c r="A4" t="s">
        <v>47</v>
      </c>
      <c r="B4" t="s">
        <v>61</v>
      </c>
      <c r="C4" t="s">
        <v>65</v>
      </c>
    </row>
    <row r="5" spans="1:3" x14ac:dyDescent="0.3">
      <c r="A5" t="s">
        <v>48</v>
      </c>
      <c r="B5" t="s">
        <v>62</v>
      </c>
      <c r="C5" t="s">
        <v>66</v>
      </c>
    </row>
    <row r="6" spans="1:3" x14ac:dyDescent="0.3">
      <c r="A6" t="s">
        <v>49</v>
      </c>
      <c r="B6" t="s">
        <v>61</v>
      </c>
      <c r="C6" t="s">
        <v>67</v>
      </c>
    </row>
    <row r="7" spans="1:3" x14ac:dyDescent="0.3">
      <c r="A7" t="s">
        <v>50</v>
      </c>
      <c r="B7" t="s">
        <v>63</v>
      </c>
      <c r="C7" t="s">
        <v>68</v>
      </c>
    </row>
    <row r="8" spans="1:3" x14ac:dyDescent="0.3">
      <c r="A8" t="s">
        <v>51</v>
      </c>
      <c r="B8" t="s">
        <v>61</v>
      </c>
      <c r="C8" t="s">
        <v>69</v>
      </c>
    </row>
    <row r="9" spans="1:3" x14ac:dyDescent="0.3">
      <c r="A9" t="s">
        <v>52</v>
      </c>
      <c r="B9" t="s">
        <v>62</v>
      </c>
      <c r="C9" t="s">
        <v>70</v>
      </c>
    </row>
    <row r="10" spans="1:3" x14ac:dyDescent="0.3">
      <c r="A10" t="s">
        <v>53</v>
      </c>
      <c r="B10" t="s">
        <v>63</v>
      </c>
      <c r="C10" t="s">
        <v>71</v>
      </c>
    </row>
    <row r="12" spans="1:3" x14ac:dyDescent="0.3">
      <c r="A12" t="s">
        <v>54</v>
      </c>
      <c r="B12">
        <f>COUNT(C3:C9)</f>
        <v>0</v>
      </c>
    </row>
    <row r="13" spans="1:3" x14ac:dyDescent="0.3">
      <c r="A13" t="s">
        <v>55</v>
      </c>
      <c r="B13">
        <f>COUNTA(A3:A9)</f>
        <v>7</v>
      </c>
    </row>
    <row r="14" spans="1:3" x14ac:dyDescent="0.3">
      <c r="A14" t="s">
        <v>56</v>
      </c>
      <c r="B14">
        <f>COUNTIF(B3:B9,"Electronics")</f>
        <v>3</v>
      </c>
    </row>
    <row r="15" spans="1:3" x14ac:dyDescent="0.3">
      <c r="A15" t="s">
        <v>57</v>
      </c>
      <c r="B15">
        <f>COUNTIF(B3:B9,"Furniture")</f>
        <v>2</v>
      </c>
    </row>
    <row r="16" spans="1:3" x14ac:dyDescent="0.3">
      <c r="A16" t="s">
        <v>58</v>
      </c>
      <c r="B16">
        <f>COUNTIF(B3:B9,"Clothing")</f>
        <v>1</v>
      </c>
    </row>
    <row r="17" spans="1:2" x14ac:dyDescent="0.3">
      <c r="A17" t="s">
        <v>59</v>
      </c>
      <c r="B17">
        <f>COUNTIF(C3:C9,"&gt;50")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defaultRowHeight="14.4" x14ac:dyDescent="0.3"/>
  <cols>
    <col min="1" max="1" width="50.6640625" customWidth="1"/>
    <col min="2" max="2" width="33.6640625" customWidth="1"/>
    <col min="3" max="3" width="8.6640625" customWidth="1"/>
  </cols>
  <sheetData>
    <row r="1" spans="1:3" x14ac:dyDescent="0.3">
      <c r="A1" t="s">
        <v>94</v>
      </c>
    </row>
    <row r="3" spans="1:3" x14ac:dyDescent="0.3">
      <c r="A3" t="s">
        <v>73</v>
      </c>
      <c r="B3" t="s">
        <v>60</v>
      </c>
      <c r="C3" t="s">
        <v>88</v>
      </c>
    </row>
    <row r="4" spans="1:3" x14ac:dyDescent="0.3">
      <c r="A4" t="s">
        <v>74</v>
      </c>
      <c r="B4" t="s">
        <v>86</v>
      </c>
      <c r="C4" t="s">
        <v>89</v>
      </c>
    </row>
    <row r="5" spans="1:3" x14ac:dyDescent="0.3">
      <c r="A5" t="s">
        <v>75</v>
      </c>
      <c r="B5" t="s">
        <v>87</v>
      </c>
      <c r="C5" t="s">
        <v>90</v>
      </c>
    </row>
    <row r="6" spans="1:3" x14ac:dyDescent="0.3">
      <c r="A6" t="s">
        <v>76</v>
      </c>
      <c r="B6" t="s">
        <v>86</v>
      </c>
      <c r="C6" t="s">
        <v>91</v>
      </c>
    </row>
    <row r="7" spans="1:3" x14ac:dyDescent="0.3">
      <c r="A7" t="s">
        <v>77</v>
      </c>
      <c r="B7" t="s">
        <v>87</v>
      </c>
      <c r="C7" t="s">
        <v>11</v>
      </c>
    </row>
    <row r="8" spans="1:3" x14ac:dyDescent="0.3">
      <c r="A8" t="s">
        <v>78</v>
      </c>
      <c r="B8" t="s">
        <v>86</v>
      </c>
      <c r="C8" t="s">
        <v>92</v>
      </c>
    </row>
    <row r="9" spans="1:3" x14ac:dyDescent="0.3">
      <c r="A9" t="s">
        <v>79</v>
      </c>
      <c r="B9" t="s">
        <v>62</v>
      </c>
      <c r="C9" t="s">
        <v>13</v>
      </c>
    </row>
    <row r="10" spans="1:3" x14ac:dyDescent="0.3">
      <c r="A10" t="s">
        <v>80</v>
      </c>
      <c r="B10" t="s">
        <v>87</v>
      </c>
      <c r="C10" t="s">
        <v>93</v>
      </c>
    </row>
    <row r="12" spans="1:3" x14ac:dyDescent="0.3">
      <c r="A12" t="s">
        <v>81</v>
      </c>
      <c r="B12">
        <f>SUMIF(B3:B9,"Office",C3:C9)</f>
        <v>0</v>
      </c>
    </row>
    <row r="13" spans="1:3" x14ac:dyDescent="0.3">
      <c r="A13" t="s">
        <v>82</v>
      </c>
      <c r="B13">
        <f>SUMIF(B3:B9,"Home",C3:C9)</f>
        <v>0</v>
      </c>
    </row>
    <row r="14" spans="1:3" x14ac:dyDescent="0.3">
      <c r="A14" t="s">
        <v>83</v>
      </c>
      <c r="B14">
        <f>SUMIF(B3:B9,"Furniture",C3:C9)</f>
        <v>0</v>
      </c>
    </row>
    <row r="15" spans="1:3" x14ac:dyDescent="0.3">
      <c r="A15" t="s">
        <v>84</v>
      </c>
      <c r="B15">
        <f>SUM(C3:C9)</f>
        <v>0</v>
      </c>
    </row>
    <row r="17" spans="1:1" x14ac:dyDescent="0.3">
      <c r="A17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4.4" x14ac:dyDescent="0.3"/>
  <cols>
    <col min="1" max="1" width="50.6640625" customWidth="1"/>
    <col min="2" max="3" width="14.6640625" customWidth="1"/>
    <col min="4" max="4" width="13.6640625" customWidth="1"/>
  </cols>
  <sheetData>
    <row r="1" spans="1:4" x14ac:dyDescent="0.3">
      <c r="A1" t="s">
        <v>117</v>
      </c>
    </row>
    <row r="3" spans="1:4" x14ac:dyDescent="0.3">
      <c r="A3" t="s">
        <v>95</v>
      </c>
      <c r="B3" t="s">
        <v>107</v>
      </c>
      <c r="C3" t="s">
        <v>110</v>
      </c>
      <c r="D3" t="s">
        <v>60</v>
      </c>
    </row>
    <row r="4" spans="1:4" x14ac:dyDescent="0.3">
      <c r="A4" t="s">
        <v>96</v>
      </c>
      <c r="B4" t="s">
        <v>1</v>
      </c>
      <c r="C4" t="s">
        <v>111</v>
      </c>
      <c r="D4" t="s">
        <v>61</v>
      </c>
    </row>
    <row r="5" spans="1:4" x14ac:dyDescent="0.3">
      <c r="A5" t="s">
        <v>97</v>
      </c>
      <c r="B5" t="s">
        <v>2</v>
      </c>
      <c r="C5" t="s">
        <v>112</v>
      </c>
      <c r="D5" t="s">
        <v>61</v>
      </c>
    </row>
    <row r="6" spans="1:4" x14ac:dyDescent="0.3">
      <c r="A6" t="s">
        <v>98</v>
      </c>
      <c r="B6" t="s">
        <v>108</v>
      </c>
      <c r="C6" t="s">
        <v>113</v>
      </c>
      <c r="D6" t="s">
        <v>62</v>
      </c>
    </row>
    <row r="7" spans="1:4" x14ac:dyDescent="0.3">
      <c r="A7" t="s">
        <v>99</v>
      </c>
      <c r="B7" t="s">
        <v>109</v>
      </c>
      <c r="C7" t="s">
        <v>114</v>
      </c>
      <c r="D7" t="s">
        <v>62</v>
      </c>
    </row>
    <row r="8" spans="1:4" x14ac:dyDescent="0.3">
      <c r="A8" t="s">
        <v>100</v>
      </c>
      <c r="B8" t="s">
        <v>4</v>
      </c>
      <c r="C8" t="s">
        <v>115</v>
      </c>
      <c r="D8" t="s">
        <v>61</v>
      </c>
    </row>
    <row r="10" spans="1:4" x14ac:dyDescent="0.3">
      <c r="A10" t="s">
        <v>101</v>
      </c>
    </row>
    <row r="11" spans="1:4" x14ac:dyDescent="0.3">
      <c r="A11" t="s">
        <v>102</v>
      </c>
      <c r="B11" t="s">
        <v>95</v>
      </c>
      <c r="C11" t="s">
        <v>107</v>
      </c>
      <c r="D11" t="s">
        <v>116</v>
      </c>
    </row>
    <row r="12" spans="1:4" x14ac:dyDescent="0.3">
      <c r="A12" t="s">
        <v>103</v>
      </c>
      <c r="B12" t="s">
        <v>98</v>
      </c>
    </row>
    <row r="13" spans="1:4" x14ac:dyDescent="0.3">
      <c r="A13" t="s">
        <v>104</v>
      </c>
      <c r="B13" t="s">
        <v>100</v>
      </c>
    </row>
    <row r="14" spans="1:4" x14ac:dyDescent="0.3">
      <c r="A14" t="s">
        <v>105</v>
      </c>
      <c r="B14" t="s">
        <v>96</v>
      </c>
    </row>
    <row r="16" spans="1:4" x14ac:dyDescent="0.3">
      <c r="A16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4.4" x14ac:dyDescent="0.3"/>
  <cols>
    <col min="1" max="1" width="50.6640625" customWidth="1"/>
    <col min="2" max="2" width="29.6640625" customWidth="1"/>
    <col min="3" max="3" width="8.6640625" customWidth="1"/>
    <col min="4" max="4" width="16.6640625" customWidth="1"/>
  </cols>
  <sheetData>
    <row r="1" spans="1:4" x14ac:dyDescent="0.3">
      <c r="A1" t="s">
        <v>139</v>
      </c>
    </row>
    <row r="3" spans="1:4" x14ac:dyDescent="0.3">
      <c r="A3" t="s">
        <v>118</v>
      </c>
      <c r="B3" t="s">
        <v>129</v>
      </c>
      <c r="C3" t="s">
        <v>133</v>
      </c>
      <c r="D3" t="s">
        <v>138</v>
      </c>
    </row>
    <row r="4" spans="1:4" x14ac:dyDescent="0.3">
      <c r="A4" t="s">
        <v>119</v>
      </c>
      <c r="B4" t="s">
        <v>130</v>
      </c>
      <c r="C4" t="s">
        <v>134</v>
      </c>
    </row>
    <row r="5" spans="1:4" x14ac:dyDescent="0.3">
      <c r="A5" t="s">
        <v>120</v>
      </c>
      <c r="B5" t="s">
        <v>131</v>
      </c>
      <c r="C5" t="s">
        <v>135</v>
      </c>
    </row>
    <row r="6" spans="1:4" x14ac:dyDescent="0.3">
      <c r="A6" t="s">
        <v>121</v>
      </c>
      <c r="B6" t="s">
        <v>130</v>
      </c>
      <c r="C6" t="s">
        <v>136</v>
      </c>
    </row>
    <row r="7" spans="1:4" x14ac:dyDescent="0.3">
      <c r="A7" t="s">
        <v>122</v>
      </c>
      <c r="B7" t="s">
        <v>132</v>
      </c>
      <c r="C7" t="s">
        <v>137</v>
      </c>
    </row>
    <row r="9" spans="1:4" x14ac:dyDescent="0.3">
      <c r="A9" t="s">
        <v>123</v>
      </c>
    </row>
    <row r="10" spans="1:4" x14ac:dyDescent="0.3">
      <c r="A10" t="s">
        <v>124</v>
      </c>
      <c r="B10">
        <f>COUNTIF(C3:C6,"&gt;50000")</f>
        <v>0</v>
      </c>
    </row>
    <row r="11" spans="1:4" x14ac:dyDescent="0.3">
      <c r="A11" t="s">
        <v>125</v>
      </c>
      <c r="B11">
        <f>SUMIF(B3:B6,"IT",C3:C6)</f>
        <v>0</v>
      </c>
    </row>
    <row r="12" spans="1:4" x14ac:dyDescent="0.3">
      <c r="A12" t="s">
        <v>126</v>
      </c>
      <c r="B12" t="e">
        <f>AVERAGE(C3:C6)</f>
        <v>#DIV/0!</v>
      </c>
    </row>
    <row r="14" spans="1:4" x14ac:dyDescent="0.3">
      <c r="A14" t="s">
        <v>127</v>
      </c>
    </row>
    <row r="15" spans="1:4" x14ac:dyDescent="0.3">
      <c r="A15" t="s">
        <v>128</v>
      </c>
      <c r="B15" t="e">
        <f>IF(C3&gt;55000,C3*0.2,C3*0.1)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"/>
  <sheetViews>
    <sheetView workbookViewId="0"/>
  </sheetViews>
  <sheetFormatPr defaultRowHeight="14.4" x14ac:dyDescent="0.3"/>
  <cols>
    <col min="1" max="1" width="42.6640625" customWidth="1"/>
    <col min="2" max="2" width="14.6640625" customWidth="1"/>
    <col min="3" max="3" width="16.6640625" customWidth="1"/>
  </cols>
  <sheetData>
    <row r="1" spans="1:3" x14ac:dyDescent="0.3">
      <c r="A1" t="s">
        <v>168</v>
      </c>
    </row>
    <row r="3" spans="1:3" x14ac:dyDescent="0.3">
      <c r="A3" t="s">
        <v>140</v>
      </c>
    </row>
    <row r="4" spans="1:3" x14ac:dyDescent="0.3">
      <c r="A4" t="s">
        <v>141</v>
      </c>
      <c r="B4" t="s">
        <v>155</v>
      </c>
      <c r="C4" t="s">
        <v>165</v>
      </c>
    </row>
    <row r="5" spans="1:3" x14ac:dyDescent="0.3">
      <c r="A5" t="s">
        <v>16</v>
      </c>
      <c r="B5" t="s">
        <v>156</v>
      </c>
    </row>
    <row r="6" spans="1:3" x14ac:dyDescent="0.3">
      <c r="A6" t="s">
        <v>17</v>
      </c>
      <c r="B6" t="s">
        <v>157</v>
      </c>
    </row>
    <row r="7" spans="1:3" x14ac:dyDescent="0.3">
      <c r="A7" t="s">
        <v>18</v>
      </c>
      <c r="B7" t="s">
        <v>158</v>
      </c>
    </row>
    <row r="8" spans="1:3" x14ac:dyDescent="0.3">
      <c r="A8" t="s">
        <v>19</v>
      </c>
      <c r="B8" t="s">
        <v>159</v>
      </c>
    </row>
    <row r="9" spans="1:3" x14ac:dyDescent="0.3">
      <c r="A9" t="s">
        <v>142</v>
      </c>
    </row>
    <row r="11" spans="1:3" x14ac:dyDescent="0.3">
      <c r="A11" t="s">
        <v>143</v>
      </c>
    </row>
    <row r="12" spans="1:3" x14ac:dyDescent="0.3">
      <c r="A12" t="s">
        <v>33</v>
      </c>
      <c r="B12" t="s">
        <v>160</v>
      </c>
      <c r="C12" t="s">
        <v>166</v>
      </c>
    </row>
    <row r="13" spans="1:3" x14ac:dyDescent="0.3">
      <c r="A13" t="s">
        <v>144</v>
      </c>
      <c r="B13" t="s">
        <v>30</v>
      </c>
    </row>
    <row r="14" spans="1:3" x14ac:dyDescent="0.3">
      <c r="A14" t="s">
        <v>145</v>
      </c>
      <c r="B14" t="s">
        <v>161</v>
      </c>
    </row>
    <row r="15" spans="1:3" x14ac:dyDescent="0.3">
      <c r="A15" t="s">
        <v>146</v>
      </c>
      <c r="B15" t="s">
        <v>162</v>
      </c>
    </row>
    <row r="16" spans="1:3" x14ac:dyDescent="0.3">
      <c r="A16" t="s">
        <v>147</v>
      </c>
      <c r="B16" t="s">
        <v>29</v>
      </c>
    </row>
    <row r="17" spans="1:3" x14ac:dyDescent="0.3">
      <c r="A17" t="s">
        <v>148</v>
      </c>
    </row>
    <row r="19" spans="1:3" x14ac:dyDescent="0.3">
      <c r="A19" t="s">
        <v>149</v>
      </c>
    </row>
    <row r="20" spans="1:3" x14ac:dyDescent="0.3">
      <c r="A20" t="s">
        <v>150</v>
      </c>
      <c r="B20" t="s">
        <v>130</v>
      </c>
      <c r="C20" t="s">
        <v>167</v>
      </c>
    </row>
    <row r="21" spans="1:3" x14ac:dyDescent="0.3">
      <c r="A21" t="s">
        <v>151</v>
      </c>
      <c r="B21" t="s">
        <v>8</v>
      </c>
    </row>
    <row r="22" spans="1:3" x14ac:dyDescent="0.3">
      <c r="A22" t="s">
        <v>152</v>
      </c>
      <c r="B22" t="s">
        <v>9</v>
      </c>
    </row>
    <row r="23" spans="1:3" x14ac:dyDescent="0.3">
      <c r="A23" t="s">
        <v>153</v>
      </c>
      <c r="B23" t="s">
        <v>163</v>
      </c>
    </row>
    <row r="24" spans="1:3" x14ac:dyDescent="0.3">
      <c r="A24" t="s">
        <v>154</v>
      </c>
      <c r="B24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workbookViewId="0"/>
  </sheetViews>
  <sheetFormatPr defaultRowHeight="14.4" x14ac:dyDescent="0.3"/>
  <cols>
    <col min="1" max="1" width="33.6640625" customWidth="1"/>
    <col min="2" max="2" width="50.6640625" customWidth="1"/>
  </cols>
  <sheetData>
    <row r="1" spans="1:2" x14ac:dyDescent="0.3">
      <c r="A1" t="s">
        <v>196</v>
      </c>
    </row>
    <row r="3" spans="1:2" x14ac:dyDescent="0.3">
      <c r="A3" t="s">
        <v>169</v>
      </c>
      <c r="B3" t="s">
        <v>188</v>
      </c>
    </row>
    <row r="4" spans="1:2" x14ac:dyDescent="0.3">
      <c r="A4" t="s">
        <v>170</v>
      </c>
      <c r="B4" t="e">
        <f>SUM(range) - Adds all numeric values</f>
        <v>#NAME?</v>
      </c>
    </row>
    <row r="5" spans="1:2" x14ac:dyDescent="0.3">
      <c r="A5" t="s">
        <v>171</v>
      </c>
      <c r="B5" t="e">
        <f>AVERAGE(range) - Calculate mean value</f>
        <v>#NAME?</v>
      </c>
    </row>
    <row r="6" spans="1:2" x14ac:dyDescent="0.3">
      <c r="A6" t="s">
        <v>172</v>
      </c>
      <c r="B6" t="e">
        <f>COUNT(range) - Counts cells with numbers</f>
        <v>#NAME?</v>
      </c>
    </row>
    <row r="7" spans="1:2" x14ac:dyDescent="0.3">
      <c r="A7" t="s">
        <v>173</v>
      </c>
      <c r="B7" t="e">
        <f>COUNTA(range) - Counts non-empty cells</f>
        <v>#NAME?</v>
      </c>
    </row>
    <row r="8" spans="1:2" x14ac:dyDescent="0.3">
      <c r="A8" t="s">
        <v>174</v>
      </c>
      <c r="B8" t="e">
        <f>COUNTIF(range,criteria) - Conditional count</f>
        <v>#NAME?</v>
      </c>
    </row>
    <row r="9" spans="1:2" x14ac:dyDescent="0.3">
      <c r="A9" t="s">
        <v>175</v>
      </c>
      <c r="B9" t="e">
        <f>SUMIF(range,criteria,sum_range) - Conditional sum</f>
        <v>#NAME?</v>
      </c>
    </row>
    <row r="10" spans="1:2" x14ac:dyDescent="0.3">
      <c r="A10" t="s">
        <v>176</v>
      </c>
      <c r="B10" t="e">
        <f>IF(condition,true_value,false_value) - Decision making</f>
        <v>#NAME?</v>
      </c>
    </row>
    <row r="11" spans="1:2" x14ac:dyDescent="0.3">
      <c r="A11" t="s">
        <v>177</v>
      </c>
      <c r="B11">
        <v>0</v>
      </c>
    </row>
    <row r="12" spans="1:2" x14ac:dyDescent="0.3">
      <c r="A12" t="s">
        <v>178</v>
      </c>
      <c r="B12" t="e">
        <f>VLOOKUP(lookup_value,table,col_index,FALSE) - Vertical search</f>
        <v>#NAME?</v>
      </c>
    </row>
    <row r="14" spans="1:2" x14ac:dyDescent="0.3">
      <c r="A14" t="s">
        <v>179</v>
      </c>
    </row>
    <row r="15" spans="1:2" x14ac:dyDescent="0.3">
      <c r="A15" t="s">
        <v>180</v>
      </c>
      <c r="B15" t="s">
        <v>189</v>
      </c>
    </row>
    <row r="16" spans="1:2" x14ac:dyDescent="0.3">
      <c r="A16" t="s">
        <v>181</v>
      </c>
      <c r="B16" t="s">
        <v>190</v>
      </c>
    </row>
    <row r="17" spans="1:2" x14ac:dyDescent="0.3">
      <c r="A17" t="s">
        <v>182</v>
      </c>
      <c r="B17" t="s">
        <v>191</v>
      </c>
    </row>
    <row r="19" spans="1:2" x14ac:dyDescent="0.3">
      <c r="A19" t="s">
        <v>183</v>
      </c>
    </row>
    <row r="20" spans="1:2" x14ac:dyDescent="0.3">
      <c r="A20" t="s">
        <v>184</v>
      </c>
      <c r="B20" t="s">
        <v>192</v>
      </c>
    </row>
    <row r="21" spans="1:2" x14ac:dyDescent="0.3">
      <c r="A21" t="s">
        <v>185</v>
      </c>
      <c r="B21" t="s">
        <v>193</v>
      </c>
    </row>
    <row r="22" spans="1:2" x14ac:dyDescent="0.3">
      <c r="A22" t="s">
        <v>186</v>
      </c>
      <c r="B22" t="s">
        <v>194</v>
      </c>
    </row>
    <row r="23" spans="1:2" x14ac:dyDescent="0.3">
      <c r="A23" t="s">
        <v>187</v>
      </c>
      <c r="B2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Exercise 1 - Basic SUM</vt:lpstr>
      <vt:lpstr>Exercise 2 - AVERAGE</vt:lpstr>
      <vt:lpstr>Exercise 3 - IF Statements</vt:lpstr>
      <vt:lpstr>Exercise 4 - COUNT Functions</vt:lpstr>
      <vt:lpstr>Exercise 5 - SUMIF</vt:lpstr>
      <vt:lpstr>Exercise 6 - Lookup Tables</vt:lpstr>
      <vt:lpstr>Exercise 7 - Nested Formulas</vt:lpstr>
      <vt:lpstr>Exercise 8 - Challenge Problems</vt:lpstr>
      <vt:lpstr>Reference - Formula 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 Joshy</dc:creator>
  <cp:lastModifiedBy>Dyna Joshy</cp:lastModifiedBy>
  <dcterms:created xsi:type="dcterms:W3CDTF">2025-11-25T05:25:03Z</dcterms:created>
  <dcterms:modified xsi:type="dcterms:W3CDTF">2025-11-25T05:39:51Z</dcterms:modified>
</cp:coreProperties>
</file>